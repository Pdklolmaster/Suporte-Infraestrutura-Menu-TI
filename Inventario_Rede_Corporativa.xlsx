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xr:revisionPtr revIDLastSave="0" documentId="13_ncr:1000001_{98B31686-6F32-D349-9222-82137FD1DEF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INEL" sheetId="1" r:id="rId1"/>
    <sheet name="MAQUINAS" sheetId="2" r:id="rId2"/>
    <sheet name="DETALHES" sheetId="3" r:id="rId3"/>
    <sheet name="POWER_QUERY_CONFIG" sheetId="4" r:id="rId4"/>
    <sheet name="VBA_INSTRUCOES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B13" i="3"/>
  <c r="B12" i="3"/>
  <c r="B11" i="3"/>
  <c r="B10" i="3"/>
  <c r="B9" i="3"/>
  <c r="B8" i="3"/>
  <c r="B7" i="3"/>
  <c r="B6" i="3"/>
  <c r="J5" i="1"/>
  <c r="G5" i="1"/>
  <c r="D5" i="1"/>
  <c r="A5" i="1"/>
</calcChain>
</file>

<file path=xl/sharedStrings.xml><?xml version="1.0" encoding="utf-8"?>
<sst xmlns="http://schemas.openxmlformats.org/spreadsheetml/2006/main" count="83" uniqueCount="73">
  <si>
    <t>INVENTÁRIO DE MÁQUINAS — REDE CORPORATIVA</t>
  </si>
  <si>
    <t>Atualizado via Power Query  |  Fonte: inventario_maquinas.csv gerado pelo MenuSuporte.ps1</t>
  </si>
  <si>
    <t>TOTAL DE MÁQUINAS</t>
  </si>
  <si>
    <t>MANUTENÇÕES (30 DIAS)</t>
  </si>
  <si>
    <t>FABRICANTES ÚNICOS</t>
  </si>
  <si>
    <t>ÚLTIMA EXPORTAÇÃO</t>
  </si>
  <si>
    <t>⚙  Dados → Atualizar Tudo para recarregar  |  Aba MAQUINAS: selecione uma linha → botão VER DETALHES</t>
  </si>
  <si>
    <t>INVENTÁRIO — importado via Power Query do CSV gerado pelo MenuSuporte.ps1</t>
  </si>
  <si>
    <t>PATRIMONIO</t>
  </si>
  <si>
    <t>FABRICANTE</t>
  </si>
  <si>
    <t>MODELO</t>
  </si>
  <si>
    <t>SERIAL</t>
  </si>
  <si>
    <t>ASSET TAG BIOS</t>
  </si>
  <si>
    <t>PROCESSADOR</t>
  </si>
  <si>
    <t>RAM GB</t>
  </si>
  <si>
    <t>DISCO MODELO</t>
  </si>
  <si>
    <t>DISCO GB</t>
  </si>
  <si>
    <t>ULTIMA MANUTENCAO</t>
  </si>
  <si>
    <t>DESCRICAO MANUT</t>
  </si>
  <si>
    <t>TECNICO</t>
  </si>
  <si>
    <t>ULTIMA EXPORTACAO</t>
  </si>
  <si>
    <t>VER DETALHES</t>
  </si>
  <si>
    <t>PAT-0001</t>
  </si>
  <si>
    <t>Dell</t>
  </si>
  <si>
    <t>Latitude 5420</t>
  </si>
  <si>
    <t>SN-ABC123</t>
  </si>
  <si>
    <t>Intel Core i5-1135G7</t>
  </si>
  <si>
    <t>8</t>
  </si>
  <si>
    <t>Samsung SSD 256GB</t>
  </si>
  <si>
    <t>256</t>
  </si>
  <si>
    <t>28/05/2025</t>
  </si>
  <si>
    <t>Troca de SSD + reimagem</t>
  </si>
  <si>
    <t>joao.tecnico</t>
  </si>
  <si>
    <t>28/05/2025 14:32</t>
  </si>
  <si>
    <t>VER</t>
  </si>
  <si>
    <t>PAT-0002</t>
  </si>
  <si>
    <t>HP</t>
  </si>
  <si>
    <t>EliteBook 840</t>
  </si>
  <si>
    <t>SN-XYZ789</t>
  </si>
  <si>
    <t>Intel Core i7-8550U</t>
  </si>
  <si>
    <t>16</t>
  </si>
  <si>
    <t>WD Blue 512GB</t>
  </si>
  <si>
    <t>512</t>
  </si>
  <si>
    <t>15/04/2025</t>
  </si>
  <si>
    <t>Limpeza geral + atualização BIOS</t>
  </si>
  <si>
    <t>maria.n2</t>
  </si>
  <si>
    <t>15/04/2025 09:10</t>
  </si>
  <si>
    <t>FICHA DETALHADA DA MÁQUINA</t>
  </si>
  <si>
    <t>Selecione uma linha na aba MAQUINAS e clique em VER DETALHES para carregar esta ficha.</t>
  </si>
  <si>
    <t>▶  PATRIMÔNIO SELECIONADO (preenchido pela macro):</t>
  </si>
  <si>
    <t>PATRIMÔNIO:</t>
  </si>
  <si>
    <t>SERIAL (S/N)</t>
  </si>
  <si>
    <t>RAM (GB)</t>
  </si>
  <si>
    <t>DISCO (GB)</t>
  </si>
  <si>
    <t>ÚLTIMA MANUTENÇÃO</t>
  </si>
  <si>
    <t>DESCRIÇÃO MANUT.</t>
  </si>
  <si>
    <t>TÉCNICO</t>
  </si>
  <si>
    <t>CONFIGURAÇÃO DO POWER QUERY — Siga os passos abaixo</t>
  </si>
  <si>
    <t>PASSO 1 — CSV</t>
  </si>
  <si>
    <t>Salve o CSV do script em C:\Suporte\inventario_maquinas.csv (ou outro caminho a sua escolha).</t>
  </si>
  <si>
    <t>PASSO 2 — Importar</t>
  </si>
  <si>
    <t>Excel → Dados → Obter Dados → De Arquivo → De Texto/CSV → selecione o arquivo.</t>
  </si>
  <si>
    <t>PASSO 3 — Transformar</t>
  </si>
  <si>
    <t>Na janela Power Query: Transformar Dados. Confirme que as 14 colunas batem com os cabeçalhos da aba MAQUINAS.</t>
  </si>
  <si>
    <t>PASSO 4 — Carregar</t>
  </si>
  <si>
    <t>Carregar Para → Tabela existente → célula A2 da aba MAQUINAS. Marque 'Substituir dados existentes'.</t>
  </si>
  <si>
    <t>PASSO 5 — Auto-update</t>
  </si>
  <si>
    <t>Dados → Consultas e Conexões → Propriedades → marcar 'Atualizar ao abrir arquivo'.</t>
  </si>
  <si>
    <t>CÓDIGO M — cole no Editor Avançado (Página Inicial → Editor Avançado):</t>
  </si>
  <si>
    <t>let
    Origem        = Csv.Document(
                       File.Contents("C:\\Suporte\\inventario_maquinas.csv"),
                       [Delimiter=";", Columns=14, Encoding=65001,
                        QuoteStyle=QuoteStyle.None]),
    Promovidos    = Table.PromoteHeaders(Origem, [PromoteAllScalars=true]),
    TiposCorretos = Table.TransformColumnTypes(Promovidos, {
                       {"Patrimonio",       type text},
                       {"Fabricante",       type text},
                       {"Modelo",           type text},
                       {"Serial",           type text},
                       {"Asset_Tag_BIOS",   type text},
                       {"Processador",      type text},
                       {"RAM_GB",           type number},
                       {"Disco_Modelo",     type text},
                       {"Disco_GB",         type number},
                       {"Ultima_Manutencao",type date},
                       {"Descricao_Manut",  type text},
                       {"Tecnico",          type text},
                       {"Ultima_Exportacao",type datetime},
                       {"Ver_Detalhes",     type text}
                    })
in
    TiposCorretos</t>
  </si>
  <si>
    <t>MACRO VBA — Botão VER DETALHES  (Alt+F11 → Inserir → Módulo → cole abaixo)</t>
  </si>
  <si>
    <t>Depois: aba MAQUINAS → Inserir → Formas → Retângulo → clique direito → Atribuir Macro → VerDetalhes</t>
  </si>
  <si>
    <t>' =====================================================
' Macro: VerDetalhes
' =====================================================
Sub VerDetalhes()
    Dim ws_maq As Worksheet
    Dim ws_det As Worksheet
    Dim linha  As Long
    Dim pat    As String
    Set ws_maq = ThisWorkbook.Sheets("MAQUINAS")
    Set ws_det = ThisWorkbook.Sheets("DETALHES")
    If ActiveSheet.Name &lt;&gt; "MAQUINAS" Then
        MsgBox "Selecione uma linha na aba MAQUINAS.", vbExclamation
        Exit Sub
    End If
    linha = ActiveCell.Row
    If linha &lt; 3 Then
        MsgBox "Selecione uma linha de dados (linha 3 em diante).", vbExclamation
        Exit Sub
    End If
    pat = ws_maq.Cells(linha, 1).Value
    If pat = "" Then MsgBox "Linha sem patrimônio.", vbExclamation : Exit Sub
    ' Atualiza célula de controle — fórmulas ÍNDICE/CORRESP se recalculam
    ws_det.Range("B4").Value = pat
    ws_det.Activate
    ws_det.Range("A1").Select
    MsgBox "Ficha carregada: " &amp; pat, vbInformation, "Detalhes"
End Sub
' =====================================================
' Macro: AtualizarDados — atualiza Power Query
' =====================================================
Sub AtualizarDados()
    ThisWorkbook.RefreshAll
    MsgBox "Dados atualizados!", vbInformation
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</si>
</sst>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20"/>
      <color rgb="FF2E75B6"/>
      <name val="Arial"/>
      <charset val="1"/>
    </font>
    <font>
      <b/>
      <sz val="20"/>
      <color rgb="FF70AD47"/>
      <name val="Arial"/>
      <charset val="1"/>
    </font>
    <font>
      <b/>
      <sz val="20"/>
      <color rgb="FF1F3864"/>
      <name val="Arial"/>
      <charset val="1"/>
    </font>
    <font>
      <b/>
      <sz val="20"/>
      <color rgb="FF4472C4"/>
      <name val="Arial"/>
      <charset val="1"/>
    </font>
    <font>
      <sz val="9"/>
      <color rgb="FF404040"/>
      <name val="Arial"/>
      <charset val="1"/>
    </font>
    <font>
      <b/>
      <sz val="11"/>
      <color rgb="FFFFFFFF"/>
      <name val="Arial"/>
      <charset val="1"/>
    </font>
    <font>
      <sz val="9"/>
      <color rgb="FF1F3864"/>
      <name val="Arial"/>
      <charset val="1"/>
    </font>
    <font>
      <b/>
      <u/>
      <sz val="9"/>
      <color rgb="FF2E75B6"/>
      <name val="Arial"/>
      <charset val="1"/>
    </font>
    <font>
      <b/>
      <sz val="14"/>
      <color rgb="FFFFFFFF"/>
      <name val="Arial"/>
      <charset val="1"/>
    </font>
    <font>
      <b/>
      <sz val="10"/>
      <color rgb="FF1F3864"/>
      <name val="Arial"/>
      <charset val="1"/>
    </font>
    <font>
      <b/>
      <sz val="12"/>
      <color rgb="FF2E75B6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8"/>
      <color rgb="FF1F3864"/>
      <name val="Arial"/>
      <charset val="1"/>
    </font>
    <font>
      <b/>
      <sz val="12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8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QUINAS" displayName="MAQUINAS" ref="A2:N4" totalsRowShown="0">
  <autoFilter ref="A2:N4" xr:uid="{00000000-0009-0000-0100-000001000000}"/>
  <tableColumns count="14">
    <tableColumn id="1" xr3:uid="{00000000-0010-0000-0000-000001000000}" name="PATRIMONIO"/>
    <tableColumn id="2" xr3:uid="{00000000-0010-0000-0000-000002000000}" name="FABRICANTE"/>
    <tableColumn id="3" xr3:uid="{00000000-0010-0000-0000-000003000000}" name="MODELO"/>
    <tableColumn id="4" xr3:uid="{00000000-0010-0000-0000-000004000000}" name="SERIAL"/>
    <tableColumn id="5" xr3:uid="{00000000-0010-0000-0000-000005000000}" name="ASSET TAG BIOS"/>
    <tableColumn id="6" xr3:uid="{00000000-0010-0000-0000-000006000000}" name="PROCESSADOR"/>
    <tableColumn id="7" xr3:uid="{00000000-0010-0000-0000-000007000000}" name="RAM GB"/>
    <tableColumn id="8" xr3:uid="{00000000-0010-0000-0000-000008000000}" name="DISCO MODELO"/>
    <tableColumn id="9" xr3:uid="{00000000-0010-0000-0000-000009000000}" name="DISCO GB"/>
    <tableColumn id="10" xr3:uid="{00000000-0010-0000-0000-00000A000000}" name="ULTIMA MANUTENCAO"/>
    <tableColumn id="11" xr3:uid="{00000000-0010-0000-0000-00000B000000}" name="DESCRICAO MANUT"/>
    <tableColumn id="12" xr3:uid="{00000000-0010-0000-0000-00000C000000}" name="TECNICO"/>
    <tableColumn id="13" xr3:uid="{00000000-0010-0000-0000-00000D000000}" name="ULTIMA EXPORTACAO"/>
    <tableColumn id="14" xr3:uid="{00000000-0010-0000-0000-00000E000000}" name="VER DETALH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L8"/>
  <sheetViews>
    <sheetView showGridLines="0" tabSelected="1" zoomScaleNormal="100" workbookViewId="0"/>
  </sheetViews>
  <sheetFormatPr defaultColWidth="8.7421875" defaultRowHeight="15" x14ac:dyDescent="0.2"/>
  <cols>
    <col min="1" max="12" width="13.046875" style="15" customWidth="1"/>
  </cols>
  <sheetData>
    <row r="1" spans="1:12" ht="36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2" customHeight="1" x14ac:dyDescent="0.2"/>
    <row r="4" spans="1:12" ht="21.75" customHeight="1" x14ac:dyDescent="0.2">
      <c r="A4" s="12" t="s">
        <v>2</v>
      </c>
      <c r="B4" s="12"/>
      <c r="C4" s="12"/>
      <c r="D4" s="11" t="s">
        <v>3</v>
      </c>
      <c r="E4" s="11"/>
      <c r="F4" s="11"/>
      <c r="G4" s="10" t="s">
        <v>4</v>
      </c>
      <c r="H4" s="10"/>
      <c r="I4" s="10"/>
      <c r="J4" s="9" t="s">
        <v>5</v>
      </c>
      <c r="K4" s="9"/>
      <c r="L4" s="9"/>
    </row>
    <row r="5" spans="1:12" ht="33.75" customHeight="1" x14ac:dyDescent="0.2">
      <c r="A5" s="8">
        <f>COUNTA(MAQUINAS[SERIAL])</f>
        <v>2</v>
      </c>
      <c r="B5" s="8"/>
      <c r="C5" s="8"/>
      <c r="D5" s="7">
        <f ca="1">IFERROR(COUNTIFS(#REF!,"&gt;="&amp;(TODAY()-30),#REF!,"&lt;="&amp;TODAY()),0)</f>
        <v>0</v>
      </c>
      <c r="E5" s="7"/>
      <c r="F5" s="7"/>
      <c r="G5" s="6">
        <f>SUMPRODUCT(1/COUNTIF(MAQUINAS[FABRICANTE],MAQUINAS[FABRICANTE]))</f>
        <v>2</v>
      </c>
      <c r="H5" s="6"/>
      <c r="I5" s="6"/>
      <c r="J5" s="5" t="str">
        <f>IFERROR(TEXT(MAX(#REF!),"dd/mm/aaaa"),"—")</f>
        <v>—</v>
      </c>
      <c r="K5" s="5"/>
      <c r="L5" s="5"/>
    </row>
    <row r="6" spans="1:12" ht="13.5" customHeight="1" x14ac:dyDescent="0.2">
      <c r="A6" s="8"/>
      <c r="B6" s="8"/>
      <c r="C6" s="8"/>
      <c r="D6" s="7"/>
      <c r="E6" s="7"/>
      <c r="F6" s="7"/>
      <c r="G6" s="6"/>
      <c r="H6" s="6"/>
      <c r="I6" s="6"/>
      <c r="J6" s="5"/>
      <c r="K6" s="5"/>
      <c r="L6" s="5"/>
    </row>
    <row r="7" spans="1:12" ht="9.75" customHeight="1" x14ac:dyDescent="0.2"/>
    <row r="8" spans="1:12" ht="19.5" customHeight="1" x14ac:dyDescent="0.2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</sheetData>
  <mergeCells count="11">
    <mergeCell ref="A5:C6"/>
    <mergeCell ref="D5:F6"/>
    <mergeCell ref="G5:I6"/>
    <mergeCell ref="J5:L6"/>
    <mergeCell ref="A8:L8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2" width="13.98828125" style="15" customWidth="1"/>
    <col min="3" max="3" width="18.0234375" style="15" customWidth="1"/>
    <col min="4" max="5" width="16.0078125" style="15" customWidth="1"/>
    <col min="6" max="6" width="25.9609375" style="15" customWidth="1"/>
    <col min="7" max="7" width="9.01171875" style="15" customWidth="1"/>
    <col min="8" max="8" width="22.05859375" style="15" customWidth="1"/>
    <col min="9" max="9" width="9.01171875" style="15" customWidth="1"/>
    <col min="10" max="10" width="18.0234375" style="15" customWidth="1"/>
    <col min="11" max="11" width="29.99609375" style="15" customWidth="1"/>
    <col min="12" max="12" width="16.0078125" style="15" customWidth="1"/>
    <col min="13" max="13" width="18.0234375" style="15" customWidth="1"/>
    <col min="14" max="14" width="13.98828125" style="15" customWidth="1"/>
  </cols>
  <sheetData>
    <row r="1" spans="1:14" ht="25.5" customHeight="1" x14ac:dyDescent="0.2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0" customHeight="1" x14ac:dyDescent="0.2">
      <c r="A2" s="16" t="s">
        <v>8</v>
      </c>
      <c r="B2" s="16" t="s">
        <v>9</v>
      </c>
      <c r="C2" s="16" t="s">
        <v>10</v>
      </c>
      <c r="D2" s="16" t="s">
        <v>11</v>
      </c>
      <c r="E2" s="16" t="s">
        <v>12</v>
      </c>
      <c r="F2" s="16" t="s">
        <v>13</v>
      </c>
      <c r="G2" s="16" t="s">
        <v>14</v>
      </c>
      <c r="H2" s="16" t="s">
        <v>15</v>
      </c>
      <c r="I2" s="16" t="s">
        <v>16</v>
      </c>
      <c r="J2" s="16" t="s">
        <v>17</v>
      </c>
      <c r="K2" s="16" t="s">
        <v>18</v>
      </c>
      <c r="L2" s="16" t="s">
        <v>19</v>
      </c>
      <c r="M2" s="16" t="s">
        <v>20</v>
      </c>
      <c r="N2" s="16" t="s">
        <v>21</v>
      </c>
    </row>
    <row r="3" spans="1:14" ht="18" customHeight="1" x14ac:dyDescent="0.2">
      <c r="A3" s="17" t="s">
        <v>22</v>
      </c>
      <c r="B3" s="17" t="s">
        <v>23</v>
      </c>
      <c r="C3" s="17" t="s">
        <v>24</v>
      </c>
      <c r="D3" s="17" t="s">
        <v>25</v>
      </c>
      <c r="E3" s="17" t="s">
        <v>22</v>
      </c>
      <c r="F3" s="17" t="s">
        <v>26</v>
      </c>
      <c r="G3" s="18" t="s">
        <v>27</v>
      </c>
      <c r="H3" s="17" t="s">
        <v>28</v>
      </c>
      <c r="I3" s="18" t="s">
        <v>29</v>
      </c>
      <c r="J3" s="17" t="s">
        <v>30</v>
      </c>
      <c r="K3" s="17" t="s">
        <v>31</v>
      </c>
      <c r="L3" s="17" t="s">
        <v>32</v>
      </c>
      <c r="M3" s="17" t="s">
        <v>33</v>
      </c>
      <c r="N3" s="19" t="s">
        <v>34</v>
      </c>
    </row>
    <row r="4" spans="1:14" ht="18" customHeight="1" x14ac:dyDescent="0.2">
      <c r="A4" s="20" t="s">
        <v>35</v>
      </c>
      <c r="B4" s="20" t="s">
        <v>36</v>
      </c>
      <c r="C4" s="20" t="s">
        <v>37</v>
      </c>
      <c r="D4" s="20" t="s">
        <v>38</v>
      </c>
      <c r="E4" s="20" t="s">
        <v>35</v>
      </c>
      <c r="F4" s="20" t="s">
        <v>39</v>
      </c>
      <c r="G4" s="21" t="s">
        <v>40</v>
      </c>
      <c r="H4" s="20" t="s">
        <v>41</v>
      </c>
      <c r="I4" s="21" t="s">
        <v>42</v>
      </c>
      <c r="J4" s="20" t="s">
        <v>43</v>
      </c>
      <c r="K4" s="20" t="s">
        <v>44</v>
      </c>
      <c r="L4" s="20" t="s">
        <v>45</v>
      </c>
      <c r="M4" s="20" t="s">
        <v>46</v>
      </c>
      <c r="N4" s="22" t="s">
        <v>34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6"/>
  </sheetPr>
  <dimension ref="A1:F17"/>
  <sheetViews>
    <sheetView showGridLines="0" zoomScaleNormal="100" workbookViewId="0"/>
  </sheetViews>
  <sheetFormatPr defaultColWidth="8.7421875" defaultRowHeight="15" x14ac:dyDescent="0.2"/>
  <cols>
    <col min="1" max="1" width="22.05859375" style="15" customWidth="1"/>
    <col min="2" max="6" width="18.0234375" style="15" customWidth="1"/>
  </cols>
  <sheetData>
    <row r="1" spans="1:6" ht="31.5" customHeight="1" x14ac:dyDescent="0.2">
      <c r="A1" s="2" t="s">
        <v>47</v>
      </c>
      <c r="B1" s="2"/>
      <c r="C1" s="2"/>
      <c r="D1" s="2"/>
      <c r="E1" s="2"/>
      <c r="F1" s="2"/>
    </row>
    <row r="2" spans="1:6" ht="21.75" customHeight="1" x14ac:dyDescent="0.2">
      <c r="A2" s="1" t="s">
        <v>48</v>
      </c>
      <c r="B2" s="1"/>
      <c r="C2" s="1"/>
      <c r="D2" s="1"/>
      <c r="E2" s="1"/>
      <c r="F2" s="1"/>
    </row>
    <row r="3" spans="1:6" ht="19.5" customHeight="1" x14ac:dyDescent="0.2">
      <c r="A3" s="30" t="s">
        <v>49</v>
      </c>
      <c r="B3" s="30"/>
      <c r="C3" s="30"/>
      <c r="D3" s="30"/>
      <c r="E3" s="30"/>
      <c r="F3" s="30"/>
    </row>
    <row r="4" spans="1:6" ht="25.5" customHeight="1" x14ac:dyDescent="0.2">
      <c r="A4" s="23" t="s">
        <v>50</v>
      </c>
      <c r="B4" s="24" t="s">
        <v>22</v>
      </c>
    </row>
    <row r="5" spans="1:6" ht="9.75" customHeight="1" x14ac:dyDescent="0.2"/>
    <row r="6" spans="1:6" ht="21.75" customHeight="1" x14ac:dyDescent="0.2">
      <c r="A6" s="25" t="s">
        <v>9</v>
      </c>
      <c r="B6" s="31" t="str">
        <f>IFERROR(INDEX(MAQUINAS[FABRICANTE],MATCH(DETALHES!B4,MAQUINAS[PATRIMONIO],0)),"—")</f>
        <v>Dell</v>
      </c>
      <c r="C6" s="31"/>
      <c r="D6" s="31"/>
      <c r="E6" s="31"/>
      <c r="F6" s="31"/>
    </row>
    <row r="7" spans="1:6" ht="21.75" customHeight="1" x14ac:dyDescent="0.2">
      <c r="A7" s="25" t="s">
        <v>10</v>
      </c>
      <c r="B7" s="32" t="str">
        <f>IFERROR(INDEX(MAQUINAS[MODELO],MATCH(DETALHES!B4,MAQUINAS[PATRIMONIO],0)),"—")</f>
        <v>Latitude 5420</v>
      </c>
      <c r="C7" s="32"/>
      <c r="D7" s="32"/>
      <c r="E7" s="32"/>
      <c r="F7" s="32"/>
    </row>
    <row r="8" spans="1:6" ht="21.75" customHeight="1" x14ac:dyDescent="0.2">
      <c r="A8" s="25" t="s">
        <v>51</v>
      </c>
      <c r="B8" s="31" t="str">
        <f>IFERROR(INDEX(MAQUINAS[SERIAL],MATCH(DETALHES!B4,MAQUINAS[PATRIMONIO],0)),"—")</f>
        <v>SN-ABC123</v>
      </c>
      <c r="C8" s="31"/>
      <c r="D8" s="31"/>
      <c r="E8" s="31"/>
      <c r="F8" s="31"/>
    </row>
    <row r="9" spans="1:6" ht="21.75" customHeight="1" x14ac:dyDescent="0.2">
      <c r="A9" s="25" t="s">
        <v>12</v>
      </c>
      <c r="B9" s="32" t="str">
        <f>IFERROR(INDEX(#REF!,MATCH(DETALHES!B4,MAQUINAS[PATRIMONIO],0)),"—")</f>
        <v>—</v>
      </c>
      <c r="C9" s="32"/>
      <c r="D9" s="32"/>
      <c r="E9" s="32"/>
      <c r="F9" s="32"/>
    </row>
    <row r="10" spans="1:6" ht="21.75" customHeight="1" x14ac:dyDescent="0.2">
      <c r="A10" s="25" t="s">
        <v>13</v>
      </c>
      <c r="B10" s="31" t="str">
        <f>IFERROR(INDEX(MAQUINAS[PROCESSADOR],MATCH(DETALHES!B4,MAQUINAS[PATRIMONIO],0)),"—")</f>
        <v>Intel Core i5-1135G7</v>
      </c>
      <c r="C10" s="31"/>
      <c r="D10" s="31"/>
      <c r="E10" s="31"/>
      <c r="F10" s="31"/>
    </row>
    <row r="11" spans="1:6" ht="21.75" customHeight="1" x14ac:dyDescent="0.2">
      <c r="A11" s="25" t="s">
        <v>52</v>
      </c>
      <c r="B11" s="32" t="str">
        <f>IFERROR(INDEX(#REF!,MATCH(DETALHES!B4,MAQUINAS[PATRIMONIO],0)),"—")</f>
        <v>—</v>
      </c>
      <c r="C11" s="32"/>
      <c r="D11" s="32"/>
      <c r="E11" s="32"/>
      <c r="F11" s="32"/>
    </row>
    <row r="12" spans="1:6" ht="21.75" customHeight="1" x14ac:dyDescent="0.2">
      <c r="A12" s="25" t="s">
        <v>15</v>
      </c>
      <c r="B12" s="31" t="str">
        <f>IFERROR(INDEX(#REF!,MATCH(DETALHES!B4,MAQUINAS[PATRIMONIO],0)),"—")</f>
        <v>—</v>
      </c>
      <c r="C12" s="31"/>
      <c r="D12" s="31"/>
      <c r="E12" s="31"/>
      <c r="F12" s="31"/>
    </row>
    <row r="13" spans="1:6" ht="21.75" customHeight="1" x14ac:dyDescent="0.2">
      <c r="A13" s="25" t="s">
        <v>53</v>
      </c>
      <c r="B13" s="32" t="str">
        <f>IFERROR(INDEX(#REF!,MATCH(DETALHES!B4,MAQUINAS[PATRIMONIO],0)),"—")</f>
        <v>—</v>
      </c>
      <c r="C13" s="32"/>
      <c r="D13" s="32"/>
      <c r="E13" s="32"/>
      <c r="F13" s="32"/>
    </row>
    <row r="14" spans="1:6" ht="21.75" customHeight="1" x14ac:dyDescent="0.2">
      <c r="A14" s="25" t="s">
        <v>54</v>
      </c>
      <c r="B14" s="31" t="str">
        <f>IFERROR(INDEX(#REF!,MATCH(DETALHES!B4,MAQUINAS[PATRIMONIO],0)),"—")</f>
        <v>—</v>
      </c>
      <c r="C14" s="31"/>
      <c r="D14" s="31"/>
      <c r="E14" s="31"/>
      <c r="F14" s="31"/>
    </row>
    <row r="15" spans="1:6" ht="21.75" customHeight="1" x14ac:dyDescent="0.2">
      <c r="A15" s="25" t="s">
        <v>55</v>
      </c>
      <c r="B15" s="32" t="str">
        <f>IFERROR(INDEX(#REF!,MATCH(DETALHES!B4,MAQUINAS[PATRIMONIO],0)),"—")</f>
        <v>—</v>
      </c>
      <c r="C15" s="32"/>
      <c r="D15" s="32"/>
      <c r="E15" s="32"/>
      <c r="F15" s="32"/>
    </row>
    <row r="16" spans="1:6" ht="21.75" customHeight="1" x14ac:dyDescent="0.2">
      <c r="A16" s="25" t="s">
        <v>56</v>
      </c>
      <c r="B16" s="31" t="str">
        <f>IFERROR(INDEX(MAQUINAS[TECNICO],MATCH(DETALHES!B4,MAQUINAS[PATRIMONIO],0)),"—")</f>
        <v>joao.tecnico</v>
      </c>
      <c r="C16" s="31"/>
      <c r="D16" s="31"/>
      <c r="E16" s="31"/>
      <c r="F16" s="31"/>
    </row>
    <row r="17" spans="1:6" ht="21.75" customHeight="1" x14ac:dyDescent="0.2">
      <c r="A17" s="25" t="s">
        <v>5</v>
      </c>
      <c r="B17" s="32" t="str">
        <f>IFERROR(INDEX(#REF!,MATCH(DETALHES!B4,MAQUINAS[PATRIMONIO],0)),"—")</f>
        <v>—</v>
      </c>
      <c r="C17" s="32"/>
      <c r="D17" s="32"/>
      <c r="E17" s="32"/>
      <c r="F17" s="32"/>
    </row>
  </sheetData>
  <mergeCells count="15">
    <mergeCell ref="B13:F13"/>
    <mergeCell ref="B14:F14"/>
    <mergeCell ref="B15:F15"/>
    <mergeCell ref="B16:F16"/>
    <mergeCell ref="B17:F17"/>
    <mergeCell ref="B8:F8"/>
    <mergeCell ref="B9:F9"/>
    <mergeCell ref="B10:F10"/>
    <mergeCell ref="B11:F11"/>
    <mergeCell ref="B12:F12"/>
    <mergeCell ref="A1:F1"/>
    <mergeCell ref="A2:F2"/>
    <mergeCell ref="A3:F3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F27"/>
  <sheetViews>
    <sheetView showGridLines="0" zoomScaleNormal="100" workbookViewId="0"/>
  </sheetViews>
  <sheetFormatPr defaultColWidth="8.7421875" defaultRowHeight="15" x14ac:dyDescent="0.2"/>
  <cols>
    <col min="1" max="6" width="23.9453125" style="15" customWidth="1"/>
  </cols>
  <sheetData>
    <row r="1" spans="1:6" ht="27.75" customHeight="1" x14ac:dyDescent="0.2">
      <c r="A1" s="33" t="s">
        <v>57</v>
      </c>
      <c r="B1" s="33"/>
      <c r="C1" s="33"/>
      <c r="D1" s="33"/>
      <c r="E1" s="33"/>
      <c r="F1" s="33"/>
    </row>
    <row r="2" spans="1:6" ht="33.75" customHeight="1" x14ac:dyDescent="0.2">
      <c r="A2" s="25" t="s">
        <v>58</v>
      </c>
      <c r="B2" s="34" t="s">
        <v>59</v>
      </c>
      <c r="C2" s="34"/>
      <c r="D2" s="34"/>
      <c r="E2" s="34"/>
      <c r="F2" s="34"/>
    </row>
    <row r="3" spans="1:6" ht="33.75" customHeight="1" x14ac:dyDescent="0.2">
      <c r="A3" s="26" t="s">
        <v>60</v>
      </c>
      <c r="B3" s="35" t="s">
        <v>61</v>
      </c>
      <c r="C3" s="35"/>
      <c r="D3" s="35"/>
      <c r="E3" s="35"/>
      <c r="F3" s="35"/>
    </row>
    <row r="4" spans="1:6" ht="33.75" customHeight="1" x14ac:dyDescent="0.2">
      <c r="A4" s="27" t="s">
        <v>62</v>
      </c>
      <c r="B4" s="34" t="s">
        <v>63</v>
      </c>
      <c r="C4" s="34"/>
      <c r="D4" s="34"/>
      <c r="E4" s="34"/>
      <c r="F4" s="34"/>
    </row>
    <row r="5" spans="1:6" ht="33.75" customHeight="1" x14ac:dyDescent="0.2">
      <c r="A5" s="28" t="s">
        <v>64</v>
      </c>
      <c r="B5" s="35" t="s">
        <v>65</v>
      </c>
      <c r="C5" s="35"/>
      <c r="D5" s="35"/>
      <c r="E5" s="35"/>
      <c r="F5" s="35"/>
    </row>
    <row r="6" spans="1:6" ht="33.75" customHeight="1" x14ac:dyDescent="0.2">
      <c r="A6" s="29" t="s">
        <v>66</v>
      </c>
      <c r="B6" s="34" t="s">
        <v>67</v>
      </c>
      <c r="C6" s="34"/>
      <c r="D6" s="34"/>
      <c r="E6" s="34"/>
      <c r="F6" s="34"/>
    </row>
    <row r="8" spans="1:6" ht="21.75" customHeight="1" x14ac:dyDescent="0.2">
      <c r="A8" s="36" t="s">
        <v>68</v>
      </c>
      <c r="B8" s="36"/>
      <c r="C8" s="36"/>
      <c r="D8" s="36"/>
      <c r="E8" s="36"/>
      <c r="F8" s="36"/>
    </row>
    <row r="9" spans="1:6" ht="300" customHeight="1" x14ac:dyDescent="0.2">
      <c r="A9" s="37" t="s">
        <v>69</v>
      </c>
      <c r="B9" s="37"/>
      <c r="C9" s="37"/>
      <c r="D9" s="37"/>
      <c r="E9" s="37"/>
      <c r="F9" s="37"/>
    </row>
    <row r="10" spans="1:6" ht="15" customHeight="1" x14ac:dyDescent="0.2">
      <c r="A10" s="37"/>
      <c r="B10" s="37"/>
      <c r="C10" s="37"/>
      <c r="D10" s="37"/>
      <c r="E10" s="37"/>
      <c r="F10" s="37"/>
    </row>
    <row r="11" spans="1:6" ht="15" customHeight="1" x14ac:dyDescent="0.2">
      <c r="A11" s="37"/>
      <c r="B11" s="37"/>
      <c r="C11" s="37"/>
      <c r="D11" s="37"/>
      <c r="E11" s="37"/>
      <c r="F11" s="37"/>
    </row>
    <row r="12" spans="1:6" ht="15" customHeight="1" x14ac:dyDescent="0.2">
      <c r="A12" s="37"/>
      <c r="B12" s="37"/>
      <c r="C12" s="37"/>
      <c r="D12" s="37"/>
      <c r="E12" s="37"/>
      <c r="F12" s="37"/>
    </row>
    <row r="13" spans="1:6" ht="15" customHeight="1" x14ac:dyDescent="0.2">
      <c r="A13" s="37"/>
      <c r="B13" s="37"/>
      <c r="C13" s="37"/>
      <c r="D13" s="37"/>
      <c r="E13" s="37"/>
      <c r="F13" s="37"/>
    </row>
    <row r="14" spans="1:6" ht="15" customHeight="1" x14ac:dyDescent="0.2">
      <c r="A14" s="37"/>
      <c r="B14" s="37"/>
      <c r="C14" s="37"/>
      <c r="D14" s="37"/>
      <c r="E14" s="37"/>
      <c r="F14" s="37"/>
    </row>
    <row r="15" spans="1:6" ht="15" customHeight="1" x14ac:dyDescent="0.2">
      <c r="A15" s="37"/>
      <c r="B15" s="37"/>
      <c r="C15" s="37"/>
      <c r="D15" s="37"/>
      <c r="E15" s="37"/>
      <c r="F15" s="37"/>
    </row>
    <row r="16" spans="1:6" ht="15" customHeight="1" x14ac:dyDescent="0.2">
      <c r="A16" s="37"/>
      <c r="B16" s="37"/>
      <c r="C16" s="37"/>
      <c r="D16" s="37"/>
      <c r="E16" s="37"/>
      <c r="F16" s="37"/>
    </row>
    <row r="17" spans="1:6" ht="15" customHeight="1" x14ac:dyDescent="0.2">
      <c r="A17" s="37"/>
      <c r="B17" s="37"/>
      <c r="C17" s="37"/>
      <c r="D17" s="37"/>
      <c r="E17" s="37"/>
      <c r="F17" s="37"/>
    </row>
    <row r="18" spans="1:6" ht="15" customHeight="1" x14ac:dyDescent="0.2">
      <c r="A18" s="37"/>
      <c r="B18" s="37"/>
      <c r="C18" s="37"/>
      <c r="D18" s="37"/>
      <c r="E18" s="37"/>
      <c r="F18" s="37"/>
    </row>
    <row r="19" spans="1:6" ht="15" customHeight="1" x14ac:dyDescent="0.2">
      <c r="A19" s="37"/>
      <c r="B19" s="37"/>
      <c r="C19" s="37"/>
      <c r="D19" s="37"/>
      <c r="E19" s="37"/>
      <c r="F19" s="37"/>
    </row>
    <row r="20" spans="1:6" ht="15" customHeight="1" x14ac:dyDescent="0.2">
      <c r="A20" s="37"/>
      <c r="B20" s="37"/>
      <c r="C20" s="37"/>
      <c r="D20" s="37"/>
      <c r="E20" s="37"/>
      <c r="F20" s="37"/>
    </row>
    <row r="21" spans="1:6" ht="15" customHeight="1" x14ac:dyDescent="0.2">
      <c r="A21" s="37"/>
      <c r="B21" s="37"/>
      <c r="C21" s="37"/>
      <c r="D21" s="37"/>
      <c r="E21" s="37"/>
      <c r="F21" s="37"/>
    </row>
    <row r="22" spans="1:6" ht="15" customHeight="1" x14ac:dyDescent="0.2">
      <c r="A22" s="37"/>
      <c r="B22" s="37"/>
      <c r="C22" s="37"/>
      <c r="D22" s="37"/>
      <c r="E22" s="37"/>
      <c r="F22" s="37"/>
    </row>
    <row r="23" spans="1:6" ht="15" customHeight="1" x14ac:dyDescent="0.2">
      <c r="A23" s="37"/>
      <c r="B23" s="37"/>
      <c r="C23" s="37"/>
      <c r="D23" s="37"/>
      <c r="E23" s="37"/>
      <c r="F23" s="37"/>
    </row>
    <row r="24" spans="1:6" ht="15" customHeight="1" x14ac:dyDescent="0.2">
      <c r="A24" s="37"/>
      <c r="B24" s="37"/>
      <c r="C24" s="37"/>
      <c r="D24" s="37"/>
      <c r="E24" s="37"/>
      <c r="F24" s="37"/>
    </row>
    <row r="25" spans="1:6" ht="15" customHeight="1" x14ac:dyDescent="0.2">
      <c r="A25" s="37"/>
      <c r="B25" s="37"/>
      <c r="C25" s="37"/>
      <c r="D25" s="37"/>
      <c r="E25" s="37"/>
      <c r="F25" s="37"/>
    </row>
    <row r="26" spans="1:6" ht="15" customHeight="1" x14ac:dyDescent="0.2">
      <c r="A26" s="37"/>
      <c r="B26" s="37"/>
      <c r="C26" s="37"/>
      <c r="D26" s="37"/>
      <c r="E26" s="37"/>
      <c r="F26" s="37"/>
    </row>
    <row r="27" spans="1:6" ht="15" customHeight="1" x14ac:dyDescent="0.2">
      <c r="A27" s="37"/>
      <c r="B27" s="37"/>
      <c r="C27" s="37"/>
      <c r="D27" s="37"/>
      <c r="E27" s="37"/>
      <c r="F27" s="37"/>
    </row>
  </sheetData>
  <mergeCells count="8">
    <mergeCell ref="B6:F6"/>
    <mergeCell ref="A8:F8"/>
    <mergeCell ref="A9:F27"/>
    <mergeCell ref="A1:F1"/>
    <mergeCell ref="B2:F2"/>
    <mergeCell ref="B3:F3"/>
    <mergeCell ref="B4:F4"/>
    <mergeCell ref="B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F50"/>
  <sheetViews>
    <sheetView showGridLines="0" zoomScaleNormal="100" workbookViewId="0"/>
  </sheetViews>
  <sheetFormatPr defaultColWidth="8.7421875" defaultRowHeight="15" x14ac:dyDescent="0.2"/>
  <cols>
    <col min="1" max="6" width="23.9453125" style="15" customWidth="1"/>
  </cols>
  <sheetData>
    <row r="1" spans="1:6" ht="27.75" customHeight="1" x14ac:dyDescent="0.2">
      <c r="A1" s="38" t="s">
        <v>70</v>
      </c>
      <c r="B1" s="38"/>
      <c r="C1" s="38"/>
      <c r="D1" s="38"/>
      <c r="E1" s="38"/>
      <c r="F1" s="38"/>
    </row>
    <row r="2" spans="1:6" ht="21.75" customHeight="1" x14ac:dyDescent="0.2">
      <c r="A2" s="39" t="s">
        <v>71</v>
      </c>
      <c r="B2" s="39"/>
      <c r="C2" s="39"/>
      <c r="D2" s="39"/>
      <c r="E2" s="39"/>
      <c r="F2" s="39"/>
    </row>
    <row r="3" spans="1:6" ht="409.6" customHeight="1" x14ac:dyDescent="0.2">
      <c r="A3" s="40" t="s">
        <v>72</v>
      </c>
      <c r="B3" s="40"/>
      <c r="C3" s="40"/>
      <c r="D3" s="40"/>
      <c r="E3" s="40"/>
      <c r="F3" s="40"/>
    </row>
    <row r="4" spans="1:6" ht="15" customHeight="1" x14ac:dyDescent="0.2">
      <c r="A4" s="40"/>
      <c r="B4" s="40"/>
      <c r="C4" s="40"/>
      <c r="D4" s="40"/>
      <c r="E4" s="40"/>
      <c r="F4" s="40"/>
    </row>
    <row r="5" spans="1:6" ht="15" customHeight="1" x14ac:dyDescent="0.2">
      <c r="A5" s="40"/>
      <c r="B5" s="40"/>
      <c r="C5" s="40"/>
      <c r="D5" s="40"/>
      <c r="E5" s="40"/>
      <c r="F5" s="40"/>
    </row>
    <row r="6" spans="1:6" ht="15" customHeight="1" x14ac:dyDescent="0.2">
      <c r="A6" s="40"/>
      <c r="B6" s="40"/>
      <c r="C6" s="40"/>
      <c r="D6" s="40"/>
      <c r="E6" s="40"/>
      <c r="F6" s="40"/>
    </row>
    <row r="7" spans="1:6" ht="15" customHeight="1" x14ac:dyDescent="0.2">
      <c r="A7" s="40"/>
      <c r="B7" s="40"/>
      <c r="C7" s="40"/>
      <c r="D7" s="40"/>
      <c r="E7" s="40"/>
      <c r="F7" s="40"/>
    </row>
    <row r="8" spans="1:6" ht="15" customHeight="1" x14ac:dyDescent="0.2">
      <c r="A8" s="40"/>
      <c r="B8" s="40"/>
      <c r="C8" s="40"/>
      <c r="D8" s="40"/>
      <c r="E8" s="40"/>
      <c r="F8" s="40"/>
    </row>
    <row r="9" spans="1:6" ht="15" customHeight="1" x14ac:dyDescent="0.2">
      <c r="A9" s="40"/>
      <c r="B9" s="40"/>
      <c r="C9" s="40"/>
      <c r="D9" s="40"/>
      <c r="E9" s="40"/>
      <c r="F9" s="40"/>
    </row>
    <row r="10" spans="1:6" ht="15" customHeight="1" x14ac:dyDescent="0.2">
      <c r="A10" s="40"/>
      <c r="B10" s="40"/>
      <c r="C10" s="40"/>
      <c r="D10" s="40"/>
      <c r="E10" s="40"/>
      <c r="F10" s="40"/>
    </row>
    <row r="11" spans="1:6" ht="15" customHeight="1" x14ac:dyDescent="0.2">
      <c r="A11" s="40"/>
      <c r="B11" s="40"/>
      <c r="C11" s="40"/>
      <c r="D11" s="40"/>
      <c r="E11" s="40"/>
      <c r="F11" s="40"/>
    </row>
    <row r="12" spans="1:6" ht="15" customHeight="1" x14ac:dyDescent="0.2">
      <c r="A12" s="40"/>
      <c r="B12" s="40"/>
      <c r="C12" s="40"/>
      <c r="D12" s="40"/>
      <c r="E12" s="40"/>
      <c r="F12" s="40"/>
    </row>
    <row r="13" spans="1:6" ht="15" customHeight="1" x14ac:dyDescent="0.2">
      <c r="A13" s="40"/>
      <c r="B13" s="40"/>
      <c r="C13" s="40"/>
      <c r="D13" s="40"/>
      <c r="E13" s="40"/>
      <c r="F13" s="40"/>
    </row>
    <row r="14" spans="1:6" ht="15" customHeight="1" x14ac:dyDescent="0.2">
      <c r="A14" s="40"/>
      <c r="B14" s="40"/>
      <c r="C14" s="40"/>
      <c r="D14" s="40"/>
      <c r="E14" s="40"/>
      <c r="F14" s="40"/>
    </row>
    <row r="15" spans="1:6" ht="15" customHeight="1" x14ac:dyDescent="0.2">
      <c r="A15" s="40"/>
      <c r="B15" s="40"/>
      <c r="C15" s="40"/>
      <c r="D15" s="40"/>
      <c r="E15" s="40"/>
      <c r="F15" s="40"/>
    </row>
    <row r="16" spans="1:6" ht="15" customHeight="1" x14ac:dyDescent="0.2">
      <c r="A16" s="40"/>
      <c r="B16" s="40"/>
      <c r="C16" s="40"/>
      <c r="D16" s="40"/>
      <c r="E16" s="40"/>
      <c r="F16" s="40"/>
    </row>
    <row r="17" spans="1:6" ht="15" customHeight="1" x14ac:dyDescent="0.2">
      <c r="A17" s="40"/>
      <c r="B17" s="40"/>
      <c r="C17" s="40"/>
      <c r="D17" s="40"/>
      <c r="E17" s="40"/>
      <c r="F17" s="40"/>
    </row>
    <row r="18" spans="1:6" ht="15" customHeight="1" x14ac:dyDescent="0.2">
      <c r="A18" s="40"/>
      <c r="B18" s="40"/>
      <c r="C18" s="40"/>
      <c r="D18" s="40"/>
      <c r="E18" s="40"/>
      <c r="F18" s="40"/>
    </row>
    <row r="19" spans="1:6" ht="15" customHeight="1" x14ac:dyDescent="0.2">
      <c r="A19" s="40"/>
      <c r="B19" s="40"/>
      <c r="C19" s="40"/>
      <c r="D19" s="40"/>
      <c r="E19" s="40"/>
      <c r="F19" s="40"/>
    </row>
    <row r="20" spans="1:6" ht="15" customHeight="1" x14ac:dyDescent="0.2">
      <c r="A20" s="40"/>
      <c r="B20" s="40"/>
      <c r="C20" s="40"/>
      <c r="D20" s="40"/>
      <c r="E20" s="40"/>
      <c r="F20" s="40"/>
    </row>
    <row r="21" spans="1:6" ht="15" customHeight="1" x14ac:dyDescent="0.2">
      <c r="A21" s="40"/>
      <c r="B21" s="40"/>
      <c r="C21" s="40"/>
      <c r="D21" s="40"/>
      <c r="E21" s="40"/>
      <c r="F21" s="40"/>
    </row>
    <row r="22" spans="1:6" ht="15" customHeight="1" x14ac:dyDescent="0.2">
      <c r="A22" s="40"/>
      <c r="B22" s="40"/>
      <c r="C22" s="40"/>
      <c r="D22" s="40"/>
      <c r="E22" s="40"/>
      <c r="F22" s="40"/>
    </row>
    <row r="23" spans="1:6" ht="15" customHeight="1" x14ac:dyDescent="0.2">
      <c r="A23" s="40"/>
      <c r="B23" s="40"/>
      <c r="C23" s="40"/>
      <c r="D23" s="40"/>
      <c r="E23" s="40"/>
      <c r="F23" s="40"/>
    </row>
    <row r="24" spans="1:6" ht="15" customHeight="1" x14ac:dyDescent="0.2">
      <c r="A24" s="40"/>
      <c r="B24" s="40"/>
      <c r="C24" s="40"/>
      <c r="D24" s="40"/>
      <c r="E24" s="40"/>
      <c r="F24" s="40"/>
    </row>
    <row r="25" spans="1:6" ht="15" customHeight="1" x14ac:dyDescent="0.2">
      <c r="A25" s="40"/>
      <c r="B25" s="40"/>
      <c r="C25" s="40"/>
      <c r="D25" s="40"/>
      <c r="E25" s="40"/>
      <c r="F25" s="40"/>
    </row>
    <row r="26" spans="1:6" ht="15" customHeight="1" x14ac:dyDescent="0.2">
      <c r="A26" s="40"/>
      <c r="B26" s="40"/>
      <c r="C26" s="40"/>
      <c r="D26" s="40"/>
      <c r="E26" s="40"/>
      <c r="F26" s="40"/>
    </row>
    <row r="27" spans="1:6" ht="15" customHeight="1" x14ac:dyDescent="0.2">
      <c r="A27" s="40"/>
      <c r="B27" s="40"/>
      <c r="C27" s="40"/>
      <c r="D27" s="40"/>
      <c r="E27" s="40"/>
      <c r="F27" s="40"/>
    </row>
    <row r="28" spans="1:6" ht="15" customHeight="1" x14ac:dyDescent="0.2">
      <c r="A28" s="40"/>
      <c r="B28" s="40"/>
      <c r="C28" s="40"/>
      <c r="D28" s="40"/>
      <c r="E28" s="40"/>
      <c r="F28" s="40"/>
    </row>
    <row r="29" spans="1:6" ht="15" customHeight="1" x14ac:dyDescent="0.2">
      <c r="A29" s="40"/>
      <c r="B29" s="40"/>
      <c r="C29" s="40"/>
      <c r="D29" s="40"/>
      <c r="E29" s="40"/>
      <c r="F29" s="40"/>
    </row>
    <row r="30" spans="1:6" ht="15" customHeight="1" x14ac:dyDescent="0.2">
      <c r="A30" s="40"/>
      <c r="B30" s="40"/>
      <c r="C30" s="40"/>
      <c r="D30" s="40"/>
      <c r="E30" s="40"/>
      <c r="F30" s="40"/>
    </row>
    <row r="31" spans="1:6" ht="15" customHeight="1" x14ac:dyDescent="0.2">
      <c r="A31" s="40"/>
      <c r="B31" s="40"/>
      <c r="C31" s="40"/>
      <c r="D31" s="40"/>
      <c r="E31" s="40"/>
      <c r="F31" s="40"/>
    </row>
    <row r="32" spans="1:6" ht="15" customHeight="1" x14ac:dyDescent="0.2">
      <c r="A32" s="40"/>
      <c r="B32" s="40"/>
      <c r="C32" s="40"/>
      <c r="D32" s="40"/>
      <c r="E32" s="40"/>
      <c r="F32" s="40"/>
    </row>
    <row r="33" spans="1:6" ht="15" customHeight="1" x14ac:dyDescent="0.2">
      <c r="A33" s="40"/>
      <c r="B33" s="40"/>
      <c r="C33" s="40"/>
      <c r="D33" s="40"/>
      <c r="E33" s="40"/>
      <c r="F33" s="40"/>
    </row>
    <row r="34" spans="1:6" ht="15" customHeight="1" x14ac:dyDescent="0.2">
      <c r="A34" s="40"/>
      <c r="B34" s="40"/>
      <c r="C34" s="40"/>
      <c r="D34" s="40"/>
      <c r="E34" s="40"/>
      <c r="F34" s="40"/>
    </row>
    <row r="35" spans="1:6" ht="15" customHeight="1" x14ac:dyDescent="0.2">
      <c r="A35" s="40"/>
      <c r="B35" s="40"/>
      <c r="C35" s="40"/>
      <c r="D35" s="40"/>
      <c r="E35" s="40"/>
      <c r="F35" s="40"/>
    </row>
    <row r="36" spans="1:6" ht="15" customHeight="1" x14ac:dyDescent="0.2">
      <c r="A36" s="40"/>
      <c r="B36" s="40"/>
      <c r="C36" s="40"/>
      <c r="D36" s="40"/>
      <c r="E36" s="40"/>
      <c r="F36" s="40"/>
    </row>
    <row r="37" spans="1:6" ht="15" customHeight="1" x14ac:dyDescent="0.2">
      <c r="A37" s="40"/>
      <c r="B37" s="40"/>
      <c r="C37" s="40"/>
      <c r="D37" s="40"/>
      <c r="E37" s="40"/>
      <c r="F37" s="40"/>
    </row>
    <row r="38" spans="1:6" ht="15" customHeight="1" x14ac:dyDescent="0.2">
      <c r="A38" s="40"/>
      <c r="B38" s="40"/>
      <c r="C38" s="40"/>
      <c r="D38" s="40"/>
      <c r="E38" s="40"/>
      <c r="F38" s="40"/>
    </row>
    <row r="39" spans="1:6" ht="15" customHeight="1" x14ac:dyDescent="0.2">
      <c r="A39" s="40"/>
      <c r="B39" s="40"/>
      <c r="C39" s="40"/>
      <c r="D39" s="40"/>
      <c r="E39" s="40"/>
      <c r="F39" s="40"/>
    </row>
    <row r="40" spans="1:6" ht="15" customHeight="1" x14ac:dyDescent="0.2">
      <c r="A40" s="40"/>
      <c r="B40" s="40"/>
      <c r="C40" s="40"/>
      <c r="D40" s="40"/>
      <c r="E40" s="40"/>
      <c r="F40" s="40"/>
    </row>
    <row r="41" spans="1:6" ht="15" customHeight="1" x14ac:dyDescent="0.2">
      <c r="A41" s="40"/>
      <c r="B41" s="40"/>
      <c r="C41" s="40"/>
      <c r="D41" s="40"/>
      <c r="E41" s="40"/>
      <c r="F41" s="40"/>
    </row>
    <row r="42" spans="1:6" ht="15" customHeight="1" x14ac:dyDescent="0.2">
      <c r="A42" s="40"/>
      <c r="B42" s="40"/>
      <c r="C42" s="40"/>
      <c r="D42" s="40"/>
      <c r="E42" s="40"/>
      <c r="F42" s="40"/>
    </row>
    <row r="43" spans="1:6" ht="15" customHeight="1" x14ac:dyDescent="0.2">
      <c r="A43" s="40"/>
      <c r="B43" s="40"/>
      <c r="C43" s="40"/>
      <c r="D43" s="40"/>
      <c r="E43" s="40"/>
      <c r="F43" s="40"/>
    </row>
    <row r="44" spans="1:6" ht="15" customHeight="1" x14ac:dyDescent="0.2">
      <c r="A44" s="40"/>
      <c r="B44" s="40"/>
      <c r="C44" s="40"/>
      <c r="D44" s="40"/>
      <c r="E44" s="40"/>
      <c r="F44" s="40"/>
    </row>
    <row r="45" spans="1:6" ht="15" customHeight="1" x14ac:dyDescent="0.2">
      <c r="A45" s="40"/>
      <c r="B45" s="40"/>
      <c r="C45" s="40"/>
      <c r="D45" s="40"/>
      <c r="E45" s="40"/>
      <c r="F45" s="40"/>
    </row>
    <row r="46" spans="1:6" ht="15" customHeight="1" x14ac:dyDescent="0.2">
      <c r="A46" s="40"/>
      <c r="B46" s="40"/>
      <c r="C46" s="40"/>
      <c r="D46" s="40"/>
      <c r="E46" s="40"/>
      <c r="F46" s="40"/>
    </row>
    <row r="47" spans="1:6" ht="15" customHeight="1" x14ac:dyDescent="0.2">
      <c r="A47" s="40"/>
      <c r="B47" s="40"/>
      <c r="C47" s="40"/>
      <c r="D47" s="40"/>
      <c r="E47" s="40"/>
      <c r="F47" s="40"/>
    </row>
    <row r="48" spans="1:6" ht="15" customHeight="1" x14ac:dyDescent="0.2">
      <c r="A48" s="40"/>
      <c r="B48" s="40"/>
      <c r="C48" s="40"/>
      <c r="D48" s="40"/>
      <c r="E48" s="40"/>
      <c r="F48" s="40"/>
    </row>
    <row r="49" spans="1:6" ht="15" customHeight="1" x14ac:dyDescent="0.2">
      <c r="A49" s="40"/>
      <c r="B49" s="40"/>
      <c r="C49" s="40"/>
      <c r="D49" s="40"/>
      <c r="E49" s="40"/>
      <c r="F49" s="40"/>
    </row>
    <row r="50" spans="1:6" ht="15" customHeight="1" x14ac:dyDescent="0.2">
      <c r="A50" s="40"/>
      <c r="B50" s="40"/>
      <c r="C50" s="40"/>
      <c r="D50" s="40"/>
      <c r="E50" s="40"/>
      <c r="F50" s="40"/>
    </row>
  </sheetData>
  <mergeCells count="3">
    <mergeCell ref="A1:F1"/>
    <mergeCell ref="A2:F2"/>
    <mergeCell ref="A3:F5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MAQUINAS</vt:lpstr>
      <vt:lpstr>DETALHES</vt:lpstr>
      <vt:lpstr>POWER_QUERY_CONFIG</vt:lpstr>
      <vt:lpstr>VBA_INSTRUCOES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2026-05-30T13:46:39Z</dcterms:created>
  <dcterms:modified xsi:type="dcterms:W3CDTF">2026-05-30T13:46:56Z</dcterms:modified>
  <dc:language>en-US</dc:language>
</cp:coreProperties>
</file>